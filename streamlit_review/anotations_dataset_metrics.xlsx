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iguel/Documents/Master Thesis/Thesis/streamlit_review/"/>
    </mc:Choice>
  </mc:AlternateContent>
  <xr:revisionPtr revIDLastSave="0" documentId="13_ncr:1_{129B28FB-6511-4640-A03C-F10ADA7E1715}" xr6:coauthVersionLast="47" xr6:coauthVersionMax="47" xr10:uidLastSave="{00000000-0000-0000-0000-000000000000}"/>
  <bookViews>
    <workbookView xWindow="0" yWindow="680" windowWidth="34560" windowHeight="20040" xr2:uid="{00000000-000D-0000-FFFF-FFFF00000000}"/>
  </bookViews>
  <sheets>
    <sheet name="Simulator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E43" i="1"/>
  <c r="D43" i="1"/>
  <c r="C43" i="1"/>
  <c r="B43" i="1"/>
  <c r="D31" i="1"/>
  <c r="C31" i="1"/>
  <c r="B31" i="1"/>
  <c r="D30" i="1"/>
  <c r="C30" i="1"/>
  <c r="B30" i="1"/>
  <c r="D29" i="1"/>
  <c r="G29" i="1" s="1"/>
  <c r="C29" i="1"/>
  <c r="B29" i="1"/>
  <c r="D24" i="1"/>
  <c r="C24" i="1"/>
  <c r="B24" i="1"/>
  <c r="F23" i="1"/>
  <c r="E23" i="1"/>
  <c r="F22" i="1"/>
  <c r="E22" i="1"/>
  <c r="J30" i="1" s="1"/>
  <c r="F21" i="1"/>
  <c r="E21" i="1"/>
  <c r="J29" i="1" s="1"/>
  <c r="B7" i="1"/>
  <c r="E6" i="1"/>
  <c r="D38" i="1" s="1"/>
  <c r="E5" i="1"/>
  <c r="E4" i="1"/>
  <c r="D36" i="1" s="1"/>
  <c r="H43" i="1" l="1"/>
  <c r="G43" i="1"/>
  <c r="G23" i="1"/>
  <c r="E44" i="1"/>
  <c r="G30" i="1"/>
  <c r="I43" i="1"/>
  <c r="E24" i="1"/>
  <c r="E31" i="1" s="1"/>
  <c r="I31" i="1" s="1"/>
  <c r="G31" i="1"/>
  <c r="F29" i="1"/>
  <c r="F31" i="1"/>
  <c r="B38" i="1"/>
  <c r="C38" i="1"/>
  <c r="F43" i="1"/>
  <c r="J36" i="1"/>
  <c r="F30" i="1"/>
  <c r="B37" i="1"/>
  <c r="G21" i="1"/>
  <c r="J31" i="1"/>
  <c r="C37" i="1"/>
  <c r="D37" i="1"/>
  <c r="B44" i="1"/>
  <c r="E7" i="1"/>
  <c r="E33" i="1"/>
  <c r="G22" i="1"/>
  <c r="B36" i="1"/>
  <c r="C44" i="1"/>
  <c r="J37" i="1"/>
  <c r="C36" i="1"/>
  <c r="D44" i="1"/>
  <c r="J38" i="1"/>
  <c r="F36" i="1" l="1"/>
  <c r="E29" i="1"/>
  <c r="I29" i="1" s="1"/>
  <c r="H44" i="1"/>
  <c r="H31" i="1"/>
  <c r="E30" i="1"/>
  <c r="I30" i="1" s="1"/>
  <c r="G37" i="1"/>
  <c r="F37" i="1"/>
  <c r="G36" i="1"/>
  <c r="G44" i="1"/>
  <c r="F44" i="1"/>
  <c r="E36" i="1"/>
  <c r="I36" i="1" s="1"/>
  <c r="E37" i="1"/>
  <c r="I37" i="1" s="1"/>
  <c r="E38" i="1"/>
  <c r="I38" i="1" s="1"/>
  <c r="G38" i="1"/>
  <c r="F38" i="1"/>
  <c r="I44" i="1"/>
  <c r="H29" i="1" l="1"/>
  <c r="H30" i="1"/>
  <c r="H38" i="1"/>
  <c r="H37" i="1"/>
  <c r="H36" i="1"/>
</calcChain>
</file>

<file path=xl/sharedStrings.xml><?xml version="1.0" encoding="utf-8"?>
<sst xmlns="http://schemas.openxmlformats.org/spreadsheetml/2006/main" count="75" uniqueCount="54">
  <si>
    <t>Weighted &amp; Unweighted Metrics Simulator (3-class + Binary)</t>
  </si>
  <si>
    <t>Population supports (real distribution)</t>
  </si>
  <si>
    <t>Weights (pop ÷ sample)</t>
  </si>
  <si>
    <t>Pop True</t>
  </si>
  <si>
    <t>w_True</t>
  </si>
  <si>
    <t>Pop Maybe</t>
  </si>
  <si>
    <t>w_Maybe</t>
  </si>
  <si>
    <t>Pop False</t>
  </si>
  <si>
    <t>w_False</t>
  </si>
  <si>
    <t>Pop Total</t>
  </si>
  <si>
    <t>Weighted total (from sample rows)</t>
  </si>
  <si>
    <t>Sample supports (your annotated / oversampled set)</t>
  </si>
  <si>
    <t>Sample True</t>
  </si>
  <si>
    <t>Sample Maybe</t>
  </si>
  <si>
    <t>Sample False</t>
  </si>
  <si>
    <t>Sample Total</t>
  </si>
  <si>
    <t>Confusion matrix (edit BLUE cells)</t>
  </si>
  <si>
    <t>Pred True</t>
  </si>
  <si>
    <t>Pred Maybe</t>
  </si>
  <si>
    <t>Pred False</t>
  </si>
  <si>
    <t>Row Total</t>
  </si>
  <si>
    <t>Sample Support</t>
  </si>
  <si>
    <t>Diff (Row-Support)</t>
  </si>
  <si>
    <t>Truth True</t>
  </si>
  <si>
    <t>Truth Maybe</t>
  </si>
  <si>
    <t>Truth False</t>
  </si>
  <si>
    <t>Col Total</t>
  </si>
  <si>
    <t>Unweighted per-class metrics (one-vs-rest)</t>
  </si>
  <si>
    <t>Class</t>
  </si>
  <si>
    <t>TP</t>
  </si>
  <si>
    <t>FP</t>
  </si>
  <si>
    <t>FN</t>
  </si>
  <si>
    <t>TN</t>
  </si>
  <si>
    <t>Precision</t>
  </si>
  <si>
    <t>Recall/TPR</t>
  </si>
  <si>
    <t>FPR</t>
  </si>
  <si>
    <t>Specificity</t>
  </si>
  <si>
    <t>Support</t>
  </si>
  <si>
    <t>True</t>
  </si>
  <si>
    <t>Maybe</t>
  </si>
  <si>
    <t>False</t>
  </si>
  <si>
    <t>Weighted grand total</t>
  </si>
  <si>
    <t>Weighted per-class metrics (post-stratified by TRUTH label)</t>
  </si>
  <si>
    <t>Binary metrics (Positive=True, Negative=Maybe+False)</t>
  </si>
  <si>
    <t>Version</t>
  </si>
  <si>
    <t>Unweighted</t>
  </si>
  <si>
    <t>Weighted</t>
  </si>
  <si>
    <t>How to use</t>
  </si>
  <si>
    <t>1) Edit BLUE cells (population supports, sample supports, and the 3×3 confusion matrix).</t>
  </si>
  <si>
    <t>2) Row totals should match sample supports; see Diff column next to the matrix.</t>
  </si>
  <si>
    <t>3) The sheet computes per-class metrics (one-vs-rest) in two ways:</t>
  </si>
  <si>
    <t xml:space="preserve">   • Unweighted: metrics on the oversampled set as-is.</t>
  </si>
  <si>
    <t xml:space="preserve">   • Weighted: post-stratified by truth label to match population supports.</t>
  </si>
  <si>
    <t>Binary section treats Positive=True and Negative=(Maybe+False).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</si>
</sst>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"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showGridLines="0" tabSelected="1" workbookViewId="0">
      <pane ySplit="20" topLeftCell="A21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32" customWidth="1"/>
    <col min="2" max="5" width="14" customWidth="1"/>
    <col min="6" max="7" width="16" customWidth="1"/>
    <col min="8" max="8" width="12" customWidth="1"/>
    <col min="9" max="9" width="14" customWidth="1"/>
    <col min="10" max="10" width="12" customWidth="1"/>
  </cols>
  <sheetData>
    <row r="1" spans="1:5" ht="21" x14ac:dyDescent="0.25">
      <c r="A1" s="1" t="s">
        <v>0</v>
      </c>
    </row>
    <row r="3" spans="1:5" ht="16" x14ac:dyDescent="0.2">
      <c r="A3" s="2" t="s">
        <v>1</v>
      </c>
      <c r="D3" s="3" t="s">
        <v>2</v>
      </c>
      <c r="E3" s="4"/>
    </row>
    <row r="4" spans="1:5" x14ac:dyDescent="0.2">
      <c r="A4" s="5" t="s">
        <v>3</v>
      </c>
      <c r="B4" s="6">
        <v>444</v>
      </c>
      <c r="D4" s="5" t="s">
        <v>4</v>
      </c>
      <c r="E4" s="4">
        <f>IFERROR(B4/B10,"")</f>
        <v>4.4400000000000004</v>
      </c>
    </row>
    <row r="5" spans="1:5" x14ac:dyDescent="0.2">
      <c r="A5" s="5" t="s">
        <v>5</v>
      </c>
      <c r="B5" s="6">
        <v>2332</v>
      </c>
      <c r="D5" s="5" t="s">
        <v>6</v>
      </c>
      <c r="E5" s="4">
        <f>IFERROR(B5/B11,"")</f>
        <v>23.32</v>
      </c>
    </row>
    <row r="6" spans="1:5" x14ac:dyDescent="0.2">
      <c r="A6" s="5" t="s">
        <v>7</v>
      </c>
      <c r="B6" s="6">
        <v>54542</v>
      </c>
      <c r="D6" s="5" t="s">
        <v>8</v>
      </c>
      <c r="E6" s="4">
        <f>IFERROR(B6/B12,"")</f>
        <v>218.16800000000001</v>
      </c>
    </row>
    <row r="7" spans="1:5" x14ac:dyDescent="0.2">
      <c r="A7" s="5" t="s">
        <v>9</v>
      </c>
      <c r="B7" s="4">
        <f>SUM(B4:B6)</f>
        <v>57318</v>
      </c>
      <c r="D7" s="5" t="s">
        <v>10</v>
      </c>
      <c r="E7" s="4">
        <f>SUMPRODUCT(E21:E23,$E$4:$E$6)</f>
        <v>56010.703999999998</v>
      </c>
    </row>
    <row r="9" spans="1:5" ht="16" x14ac:dyDescent="0.2">
      <c r="A9" s="2" t="s">
        <v>11</v>
      </c>
    </row>
    <row r="10" spans="1:5" x14ac:dyDescent="0.2">
      <c r="A10" s="5" t="s">
        <v>12</v>
      </c>
      <c r="B10" s="6">
        <v>100</v>
      </c>
    </row>
    <row r="11" spans="1:5" x14ac:dyDescent="0.2">
      <c r="A11" s="5" t="s">
        <v>13</v>
      </c>
      <c r="B11" s="6">
        <v>100</v>
      </c>
    </row>
    <row r="12" spans="1:5" x14ac:dyDescent="0.2">
      <c r="A12" s="5" t="s">
        <v>14</v>
      </c>
      <c r="B12" s="6">
        <v>250</v>
      </c>
    </row>
    <row r="13" spans="1:5" x14ac:dyDescent="0.2">
      <c r="A13" s="5" t="s">
        <v>15</v>
      </c>
      <c r="B13" s="4">
        <f>SUM(B10:B12)</f>
        <v>450</v>
      </c>
    </row>
    <row r="19" spans="1:10" ht="16" x14ac:dyDescent="0.2">
      <c r="A19" s="2" t="s">
        <v>16</v>
      </c>
    </row>
    <row r="20" spans="1:10" x14ac:dyDescent="0.2">
      <c r="A20" s="7"/>
      <c r="B20" s="7" t="s">
        <v>17</v>
      </c>
      <c r="C20" s="7" t="s">
        <v>18</v>
      </c>
      <c r="D20" s="7" t="s">
        <v>19</v>
      </c>
      <c r="E20" s="7" t="s">
        <v>20</v>
      </c>
      <c r="F20" s="7" t="s">
        <v>21</v>
      </c>
      <c r="G20" s="7" t="s">
        <v>22</v>
      </c>
    </row>
    <row r="21" spans="1:10" x14ac:dyDescent="0.2">
      <c r="A21" s="5" t="s">
        <v>23</v>
      </c>
      <c r="B21" s="6">
        <v>91</v>
      </c>
      <c r="C21" s="6">
        <v>5</v>
      </c>
      <c r="D21" s="6">
        <v>1</v>
      </c>
      <c r="E21" s="8">
        <f>SUM(B21:D21)</f>
        <v>97</v>
      </c>
      <c r="F21" s="9">
        <f>$B$10</f>
        <v>100</v>
      </c>
      <c r="G21" s="9">
        <f>E21-F21</f>
        <v>-3</v>
      </c>
    </row>
    <row r="22" spans="1:10" x14ac:dyDescent="0.2">
      <c r="A22" s="5" t="s">
        <v>24</v>
      </c>
      <c r="B22" s="6">
        <v>2</v>
      </c>
      <c r="C22" s="6">
        <v>94</v>
      </c>
      <c r="D22" s="6">
        <v>14</v>
      </c>
      <c r="E22" s="8">
        <f>SUM(B22:D22)</f>
        <v>110</v>
      </c>
      <c r="F22" s="9">
        <f>$B$11</f>
        <v>100</v>
      </c>
      <c r="G22" s="9">
        <f>E22-F22</f>
        <v>10</v>
      </c>
    </row>
    <row r="23" spans="1:10" x14ac:dyDescent="0.2">
      <c r="A23" s="5" t="s">
        <v>25</v>
      </c>
      <c r="B23" s="6">
        <v>0</v>
      </c>
      <c r="C23" s="6">
        <v>4</v>
      </c>
      <c r="D23" s="6">
        <v>239</v>
      </c>
      <c r="E23" s="8">
        <f>SUM(B23:D23)</f>
        <v>243</v>
      </c>
      <c r="F23" s="9">
        <f>$B$12</f>
        <v>250</v>
      </c>
      <c r="G23" s="9">
        <f>E23-F23</f>
        <v>-7</v>
      </c>
    </row>
    <row r="24" spans="1:10" x14ac:dyDescent="0.2">
      <c r="A24" s="10" t="s">
        <v>26</v>
      </c>
      <c r="B24" s="8">
        <f>SUM(B21:B23)</f>
        <v>93</v>
      </c>
      <c r="C24" s="8">
        <f>SUM(C21:C23)</f>
        <v>103</v>
      </c>
      <c r="D24" s="8">
        <f>SUM(D21:D23)</f>
        <v>254</v>
      </c>
      <c r="E24" s="8">
        <f>SUM(E21:E23)</f>
        <v>450</v>
      </c>
      <c r="F24" s="8"/>
      <c r="G24" s="8"/>
    </row>
    <row r="27" spans="1:10" ht="16" x14ac:dyDescent="0.2">
      <c r="A27" s="2" t="s">
        <v>27</v>
      </c>
    </row>
    <row r="28" spans="1:10" x14ac:dyDescent="0.2">
      <c r="A28" s="7" t="s">
        <v>28</v>
      </c>
      <c r="B28" s="7" t="s">
        <v>29</v>
      </c>
      <c r="C28" s="7" t="s">
        <v>30</v>
      </c>
      <c r="D28" s="7" t="s">
        <v>31</v>
      </c>
      <c r="E28" s="7" t="s">
        <v>32</v>
      </c>
      <c r="F28" s="7" t="s">
        <v>33</v>
      </c>
      <c r="G28" s="7" t="s">
        <v>34</v>
      </c>
      <c r="H28" s="7" t="s">
        <v>35</v>
      </c>
      <c r="I28" s="7" t="s">
        <v>36</v>
      </c>
      <c r="J28" s="7" t="s">
        <v>37</v>
      </c>
    </row>
    <row r="29" spans="1:10" x14ac:dyDescent="0.2">
      <c r="A29" s="11" t="s">
        <v>38</v>
      </c>
      <c r="B29" s="4">
        <f>B21</f>
        <v>91</v>
      </c>
      <c r="C29" s="4">
        <f>B22+B23</f>
        <v>2</v>
      </c>
      <c r="D29" s="4">
        <f>C21+D21</f>
        <v>6</v>
      </c>
      <c r="E29" s="4">
        <f>$E$24-B29-C29-D29</f>
        <v>351</v>
      </c>
      <c r="F29" s="12">
        <f>IFERROR(B29/(B29+C29),"")</f>
        <v>0.978494623655914</v>
      </c>
      <c r="G29" s="12">
        <f t="shared" ref="G29:H31" si="0">IFERROR(B29/(B29+D29),"")</f>
        <v>0.93814432989690721</v>
      </c>
      <c r="H29" s="12">
        <f t="shared" si="0"/>
        <v>5.6657223796033997E-3</v>
      </c>
      <c r="I29" s="12">
        <f>IFERROR(E29/(E29+C29),"")</f>
        <v>0.99433427762039661</v>
      </c>
      <c r="J29" s="4">
        <f>E21</f>
        <v>97</v>
      </c>
    </row>
    <row r="30" spans="1:10" x14ac:dyDescent="0.2">
      <c r="A30" s="11" t="s">
        <v>39</v>
      </c>
      <c r="B30" s="4">
        <f>C22</f>
        <v>94</v>
      </c>
      <c r="C30" s="4">
        <f>C21+C23</f>
        <v>9</v>
      </c>
      <c r="D30" s="4">
        <f>B22+D22</f>
        <v>16</v>
      </c>
      <c r="E30" s="4">
        <f>$E$24-B30-C30-D30</f>
        <v>331</v>
      </c>
      <c r="F30" s="12">
        <f>IFERROR(B30/(B30+C30),"")</f>
        <v>0.91262135922330101</v>
      </c>
      <c r="G30" s="12">
        <f t="shared" si="0"/>
        <v>0.8545454545454545</v>
      </c>
      <c r="H30" s="12">
        <f t="shared" si="0"/>
        <v>2.6470588235294117E-2</v>
      </c>
      <c r="I30" s="12">
        <f>IFERROR(E30/(E30+C30),"")</f>
        <v>0.97352941176470587</v>
      </c>
      <c r="J30" s="4">
        <f>E22</f>
        <v>110</v>
      </c>
    </row>
    <row r="31" spans="1:10" x14ac:dyDescent="0.2">
      <c r="A31" s="11" t="s">
        <v>40</v>
      </c>
      <c r="B31" s="4">
        <f>D23</f>
        <v>239</v>
      </c>
      <c r="C31" s="4">
        <f>D21+D22</f>
        <v>15</v>
      </c>
      <c r="D31" s="4">
        <f>B23+C23</f>
        <v>4</v>
      </c>
      <c r="E31" s="4">
        <f>$E$24-B31-C31-D31</f>
        <v>192</v>
      </c>
      <c r="F31" s="12">
        <f>IFERROR(B31/(B31+C31),"")</f>
        <v>0.94094488188976377</v>
      </c>
      <c r="G31" s="12">
        <f t="shared" si="0"/>
        <v>0.98353909465020573</v>
      </c>
      <c r="H31" s="12">
        <f t="shared" si="0"/>
        <v>7.2463768115942032E-2</v>
      </c>
      <c r="I31" s="12">
        <f>IFERROR(E31/(E31+C31),"")</f>
        <v>0.92753623188405798</v>
      </c>
      <c r="J31" s="4">
        <f>E23</f>
        <v>243</v>
      </c>
    </row>
    <row r="33" spans="1:10" x14ac:dyDescent="0.2">
      <c r="D33" s="13" t="s">
        <v>41</v>
      </c>
      <c r="E33" s="14">
        <f>SUMPRODUCT(E21:E23,$E$4:$E$6)</f>
        <v>56010.703999999998</v>
      </c>
    </row>
    <row r="34" spans="1:10" ht="16" x14ac:dyDescent="0.2">
      <c r="A34" s="2" t="s">
        <v>42</v>
      </c>
    </row>
    <row r="35" spans="1:10" x14ac:dyDescent="0.2">
      <c r="A35" s="7" t="s">
        <v>28</v>
      </c>
      <c r="B35" s="7" t="s">
        <v>29</v>
      </c>
      <c r="C35" s="7" t="s">
        <v>30</v>
      </c>
      <c r="D35" s="7" t="s">
        <v>31</v>
      </c>
      <c r="E35" s="7" t="s">
        <v>32</v>
      </c>
      <c r="F35" s="7" t="s">
        <v>33</v>
      </c>
      <c r="G35" s="7" t="s">
        <v>34</v>
      </c>
      <c r="H35" s="7" t="s">
        <v>35</v>
      </c>
      <c r="I35" s="7" t="s">
        <v>36</v>
      </c>
      <c r="J35" s="7" t="s">
        <v>37</v>
      </c>
    </row>
    <row r="36" spans="1:10" x14ac:dyDescent="0.2">
      <c r="A36" s="11" t="s">
        <v>38</v>
      </c>
      <c r="B36" s="4">
        <f>B21*$E$4</f>
        <v>404.04</v>
      </c>
      <c r="C36" s="4">
        <f>B22*$E$5 + B23*$E$6</f>
        <v>46.64</v>
      </c>
      <c r="D36" s="4">
        <f>(C21+D21)*$E$4</f>
        <v>26.64</v>
      </c>
      <c r="E36" s="4">
        <f>$E$33-B36-C36-D36</f>
        <v>55533.383999999998</v>
      </c>
      <c r="F36" s="12">
        <f>IFERROR(B36/(B36+C36),"")</f>
        <v>0.8965119375166416</v>
      </c>
      <c r="G36" s="12">
        <f t="shared" ref="G36:H38" si="1">IFERROR(B36/(B36+D36),"")</f>
        <v>0.93814432989690721</v>
      </c>
      <c r="H36" s="12">
        <f t="shared" si="1"/>
        <v>8.3915041130604769E-4</v>
      </c>
      <c r="I36" s="12">
        <f>IFERROR(E36/(E36+C36),"")</f>
        <v>0.999160849588694</v>
      </c>
      <c r="J36" s="4">
        <f>E21*$E$4</f>
        <v>430.68000000000006</v>
      </c>
    </row>
    <row r="37" spans="1:10" x14ac:dyDescent="0.2">
      <c r="A37" s="11" t="s">
        <v>39</v>
      </c>
      <c r="B37" s="4">
        <f>C22*$E$5</f>
        <v>2192.08</v>
      </c>
      <c r="C37" s="4">
        <f>C21*$E$4 + C23*$E$6</f>
        <v>894.87200000000007</v>
      </c>
      <c r="D37" s="4">
        <f>(B22+D22)*$E$5</f>
        <v>373.12</v>
      </c>
      <c r="E37" s="4">
        <f>$E$33-B37-C37-D37</f>
        <v>52550.631999999991</v>
      </c>
      <c r="F37" s="12">
        <f>IFERROR(B37/(B37+C37),"")</f>
        <v>0.71011146269848047</v>
      </c>
      <c r="G37" s="12">
        <f t="shared" si="1"/>
        <v>0.85454545454545461</v>
      </c>
      <c r="H37" s="12">
        <f t="shared" si="1"/>
        <v>1.6743634787315321E-2</v>
      </c>
      <c r="I37" s="12">
        <f>IFERROR(E37/(E37+C37),"")</f>
        <v>0.98325636521268467</v>
      </c>
      <c r="J37" s="4">
        <f>E22*$E$5</f>
        <v>2565.1999999999998</v>
      </c>
    </row>
    <row r="38" spans="1:10" x14ac:dyDescent="0.2">
      <c r="A38" s="11" t="s">
        <v>40</v>
      </c>
      <c r="B38" s="4">
        <f>D23*$E$6</f>
        <v>52142.152000000002</v>
      </c>
      <c r="C38" s="4">
        <f>D21*$E$4 + D22*$E$5</f>
        <v>330.92</v>
      </c>
      <c r="D38" s="4">
        <f>(B23+C23)*$E$6</f>
        <v>872.67200000000003</v>
      </c>
      <c r="E38" s="4">
        <f>$E$33-B38-C38-D38</f>
        <v>2664.9599999999959</v>
      </c>
      <c r="F38" s="12">
        <f>IFERROR(B38/(B38+C38),"")</f>
        <v>0.9936935272247831</v>
      </c>
      <c r="G38" s="12">
        <f t="shared" si="1"/>
        <v>0.98353909465020584</v>
      </c>
      <c r="H38" s="12">
        <f t="shared" si="1"/>
        <v>0.11045836281827058</v>
      </c>
      <c r="I38" s="12">
        <f>IFERROR(E38/(E38+C38),"")</f>
        <v>0.88954163718172941</v>
      </c>
      <c r="J38" s="4">
        <f>E23*$E$6</f>
        <v>53014.824000000001</v>
      </c>
    </row>
    <row r="41" spans="1:10" ht="16" x14ac:dyDescent="0.2">
      <c r="A41" s="2" t="s">
        <v>43</v>
      </c>
    </row>
    <row r="42" spans="1:10" x14ac:dyDescent="0.2">
      <c r="A42" s="7" t="s">
        <v>44</v>
      </c>
      <c r="B42" s="7" t="s">
        <v>29</v>
      </c>
      <c r="C42" s="7" t="s">
        <v>30</v>
      </c>
      <c r="D42" s="7" t="s">
        <v>31</v>
      </c>
      <c r="E42" s="7" t="s">
        <v>32</v>
      </c>
      <c r="F42" s="7" t="s">
        <v>33</v>
      </c>
      <c r="G42" s="7" t="s">
        <v>34</v>
      </c>
      <c r="H42" s="7" t="s">
        <v>35</v>
      </c>
      <c r="I42" s="7" t="s">
        <v>36</v>
      </c>
    </row>
    <row r="43" spans="1:10" x14ac:dyDescent="0.2">
      <c r="A43" s="5" t="s">
        <v>45</v>
      </c>
      <c r="B43" s="4">
        <f>B21</f>
        <v>91</v>
      </c>
      <c r="C43" s="4">
        <f>B22+B23</f>
        <v>2</v>
      </c>
      <c r="D43" s="4">
        <f>C21+D21</f>
        <v>6</v>
      </c>
      <c r="E43" s="4">
        <f>C22+D22+C23+D23</f>
        <v>351</v>
      </c>
      <c r="F43" s="12">
        <f>IFERROR(B43/(B43+C43),"")</f>
        <v>0.978494623655914</v>
      </c>
      <c r="G43" s="12">
        <f>IFERROR(B43/(B43+D43),"")</f>
        <v>0.93814432989690721</v>
      </c>
      <c r="H43" s="12">
        <f>IFERROR(C43/(C43+E43),"")</f>
        <v>5.6657223796033997E-3</v>
      </c>
      <c r="I43" s="12">
        <f>IFERROR(E43/(E43+C43),"")</f>
        <v>0.99433427762039661</v>
      </c>
    </row>
    <row r="44" spans="1:10" x14ac:dyDescent="0.2">
      <c r="A44" s="5" t="s">
        <v>46</v>
      </c>
      <c r="B44" s="4">
        <f>B21*$E$4</f>
        <v>404.04</v>
      </c>
      <c r="C44" s="4">
        <f>B22*$E$5 + B23*$E$6</f>
        <v>46.64</v>
      </c>
      <c r="D44" s="4">
        <f>(C21+D21)*$E$4</f>
        <v>26.64</v>
      </c>
      <c r="E44" s="4">
        <f>(C22+D22)*$E$5 + (C23+D23)*$E$6</f>
        <v>55533.383999999998</v>
      </c>
      <c r="F44" s="12">
        <f>IFERROR(B44/(B44+C44),"")</f>
        <v>0.8965119375166416</v>
      </c>
      <c r="G44" s="12">
        <f>IFERROR(B44/(B44+D44),"")</f>
        <v>0.93814432989690721</v>
      </c>
      <c r="H44" s="12">
        <f>IFERROR(C44/(C44+E44),"")</f>
        <v>8.3915041130604769E-4</v>
      </c>
      <c r="I44" s="12">
        <f>IFERROR(E44/(E44+C44),"")</f>
        <v>0.999160849588694</v>
      </c>
    </row>
  </sheetData>
  <conditionalFormatting sqref="G21:G23">
    <cfRule type="cellIs" dxfId="0" priority="1" operator="not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showGridLines="0" workbookViewId="0"/>
  </sheetViews>
  <sheetFormatPr baseColWidth="10" defaultColWidth="8.83203125" defaultRowHeight="15" x14ac:dyDescent="0.2"/>
  <cols>
    <col min="1" max="1" width="95" customWidth="1"/>
  </cols>
  <sheetData>
    <row r="1" spans="1:1" ht="21" x14ac:dyDescent="0.25">
      <c r="A1" s="1" t="s">
        <v>47</v>
      </c>
    </row>
    <row r="3" spans="1:1" x14ac:dyDescent="0.2">
      <c r="A3" s="15" t="s">
        <v>48</v>
      </c>
    </row>
    <row r="4" spans="1:1" x14ac:dyDescent="0.2">
      <c r="A4" s="15" t="s">
        <v>49</v>
      </c>
    </row>
    <row r="5" spans="1:1" x14ac:dyDescent="0.2">
      <c r="A5" s="15" t="s">
        <v>50</v>
      </c>
    </row>
    <row r="6" spans="1:1" x14ac:dyDescent="0.2">
      <c r="A6" s="15" t="s">
        <v>51</v>
      </c>
    </row>
    <row r="7" spans="1:1" x14ac:dyDescent="0.2">
      <c r="A7" s="15" t="s">
        <v>52</v>
      </c>
    </row>
    <row r="8" spans="1:1" x14ac:dyDescent="0.2">
      <c r="A8" s="15"/>
    </row>
    <row r="9" spans="1:1" x14ac:dyDescent="0.2">
      <c r="A9" s="1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Simulator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Mendoca Gomes Aires  Miguel</cp:lastModifiedBy>
  <dcterms:created xsi:type="dcterms:W3CDTF">2025-12-13T02:29:37Z</dcterms:created>
  <dcterms:modified xsi:type="dcterms:W3CDTF">2025-12-13T03:12:50Z</dcterms:modified>
</cp:coreProperties>
</file>